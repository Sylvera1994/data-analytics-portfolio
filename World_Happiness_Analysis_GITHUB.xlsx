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965\EXCELCNV\18346694-370a-4b32-a104-9f5fcc252f7a\"/>
    </mc:Choice>
  </mc:AlternateContent>
  <xr:revisionPtr revIDLastSave="0" documentId="8_{E9E7C335-CA8B-40E9-A9B5-B9C135B02C94}" xr6:coauthVersionLast="47" xr6:coauthVersionMax="47" xr10:uidLastSave="{00000000-0000-0000-0000-000000000000}"/>
  <bookViews>
    <workbookView xWindow="-60" yWindow="-60" windowWidth="15480" windowHeight="11640" firstSheet="1" activeTab="1" xr2:uid="{EE419C08-5A99-4F3F-A671-9DD1570A8023}"/>
  </bookViews>
  <sheets>
    <sheet name="original data" sheetId="1" r:id="rId1"/>
    <sheet name="Country Averages" sheetId="2" r:id="rId2"/>
  </sheets>
  <definedNames>
    <definedName name="_xlnm._FilterDatabase" localSheetId="0" hidden="1">'original data'!$A$1:$L$79</definedName>
    <definedName name="_xlnm._FilterDatabase" localSheetId="1" hidden="1">'Country Averages'!$B$1:$B$79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C66" i="1"/>
  <c r="C67" i="1"/>
  <c r="C68" i="1"/>
  <c r="C43" i="1"/>
  <c r="C56" i="1"/>
  <c r="C44" i="1"/>
  <c r="C40" i="1"/>
  <c r="C7" i="1"/>
  <c r="C48" i="1"/>
  <c r="C16" i="1"/>
  <c r="C35" i="1"/>
  <c r="C36" i="1"/>
  <c r="C30" i="1"/>
  <c r="C31" i="1"/>
  <c r="C61" i="1"/>
  <c r="C62" i="1"/>
  <c r="C63" i="1"/>
  <c r="C5" i="1"/>
  <c r="C8" i="1"/>
  <c r="C17" i="1"/>
  <c r="C45" i="1"/>
  <c r="C26" i="1"/>
  <c r="C59" i="1"/>
  <c r="C60" i="1"/>
  <c r="C18" i="1"/>
  <c r="C6" i="1"/>
  <c r="C2" i="1"/>
  <c r="C49" i="1"/>
  <c r="C50" i="1"/>
  <c r="C51" i="1"/>
  <c r="C69" i="1"/>
  <c r="C3" i="1"/>
  <c r="C64" i="1"/>
  <c r="C14" i="1"/>
  <c r="C9" i="1"/>
  <c r="C21" i="1"/>
  <c r="C52" i="1"/>
  <c r="C10" i="1"/>
  <c r="C57" i="1"/>
  <c r="C58" i="1"/>
  <c r="C19" i="1"/>
  <c r="C11" i="1"/>
  <c r="C27" i="1"/>
  <c r="C22" i="1"/>
  <c r="C46" i="1"/>
  <c r="C53" i="1"/>
  <c r="C23" i="1"/>
  <c r="C32" i="1"/>
  <c r="C24" i="1"/>
  <c r="C47" i="1"/>
  <c r="C77" i="1"/>
  <c r="C78" i="1"/>
  <c r="C79" i="1"/>
  <c r="C28" i="1"/>
  <c r="C41" i="1"/>
  <c r="C29" i="1"/>
  <c r="C37" i="1"/>
  <c r="C38" i="1"/>
  <c r="C20" i="1"/>
  <c r="C39" i="1"/>
  <c r="C54" i="1"/>
  <c r="C55" i="1"/>
  <c r="C25" i="1"/>
  <c r="C70" i="1"/>
  <c r="C71" i="1"/>
  <c r="C72" i="1"/>
  <c r="C12" i="1"/>
  <c r="C15" i="1"/>
  <c r="C33" i="1"/>
  <c r="C34" i="1"/>
  <c r="C13" i="1"/>
  <c r="C42" i="1"/>
  <c r="C4" i="1"/>
  <c r="C73" i="1"/>
  <c r="C74" i="1"/>
  <c r="C75" i="1"/>
  <c r="C76" i="1"/>
  <c r="C65" i="1"/>
</calcChain>
</file>

<file path=xl/sharedStrings.xml><?xml version="1.0" encoding="utf-8"?>
<sst xmlns="http://schemas.openxmlformats.org/spreadsheetml/2006/main" count="114" uniqueCount="34">
  <si>
    <t>Country_name</t>
  </si>
  <si>
    <t>Life Ladder</t>
  </si>
  <si>
    <t>Average Life Ladder</t>
  </si>
  <si>
    <t>Log GDP per capita</t>
  </si>
  <si>
    <t>Social_support</t>
  </si>
  <si>
    <t>Healthy life expectancy at birth</t>
  </si>
  <si>
    <t>Freedom_to_make_life_choices</t>
  </si>
  <si>
    <t>Generosity</t>
  </si>
  <si>
    <t>Perceptions_of_corruption</t>
  </si>
  <si>
    <t>Positive affect</t>
  </si>
  <si>
    <t>Negative affect</t>
  </si>
  <si>
    <t>Confidence in national government</t>
  </si>
  <si>
    <t>Austria</t>
  </si>
  <si>
    <t>Belgium</t>
  </si>
  <si>
    <t>Brazil</t>
  </si>
  <si>
    <t>Belize</t>
  </si>
  <si>
    <t>Argentina</t>
  </si>
  <si>
    <t>Bahrain</t>
  </si>
  <si>
    <t>Bolivia</t>
  </si>
  <si>
    <t>Belarus</t>
  </si>
  <si>
    <t>Algeria</t>
  </si>
  <si>
    <t>Bhutan</t>
  </si>
  <si>
    <t>Albania</t>
  </si>
  <si>
    <t>Azerbaijan</t>
  </si>
  <si>
    <t>Bosnia and Herzegovina</t>
  </si>
  <si>
    <t>Bangladesh</t>
  </si>
  <si>
    <t>Armenia</t>
  </si>
  <si>
    <t>Angola</t>
  </si>
  <si>
    <t>Afghanistan</t>
  </si>
  <si>
    <t>Botswana</t>
  </si>
  <si>
    <t>Bulgaria</t>
  </si>
  <si>
    <t>Burkina Faso</t>
  </si>
  <si>
    <t>Benin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</si>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</sst>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Top 10 Happiest Countries by Average Life 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'Country Averages'!$A$2:$A$11</c:f>
              <c:strCache>
                <c:ptCount val="10"/>
                <c:pt idx="0">
                  <c:v>Austria</c:v>
                </c:pt>
                <c:pt idx="1">
                  <c:v>Belgium</c:v>
                </c:pt>
                <c:pt idx="2">
                  <c:v>Brazil</c:v>
                </c:pt>
                <c:pt idx="3">
                  <c:v>Belize</c:v>
                </c:pt>
                <c:pt idx="4">
                  <c:v>Argentina</c:v>
                </c:pt>
                <c:pt idx="5">
                  <c:v>Bahrain</c:v>
                </c:pt>
                <c:pt idx="6">
                  <c:v>Bolivia</c:v>
                </c:pt>
                <c:pt idx="7">
                  <c:v>Belarus</c:v>
                </c:pt>
                <c:pt idx="8">
                  <c:v>Algeria</c:v>
                </c:pt>
                <c:pt idx="9">
                  <c:v>Bhutan</c:v>
                </c:pt>
              </c:strCache>
            </c:strRef>
          </c:cat>
          <c:val>
            <c:numRef>
              <c:f>'Country Averages'!$B$2:$B$11</c:f>
              <c:numCache>
                <c:formatCode>General</c:formatCode>
                <c:ptCount val="10"/>
                <c:pt idx="0">
                  <c:v>7.162830352666667</c:v>
                </c:pt>
                <c:pt idx="1">
                  <c:v>6.8054494860000005</c:v>
                </c:pt>
                <c:pt idx="2">
                  <c:v>6.5152433259999993</c:v>
                </c:pt>
                <c:pt idx="3">
                  <c:v>6.2031455040000001</c:v>
                </c:pt>
                <c:pt idx="4">
                  <c:v>6.0311927795999996</c:v>
                </c:pt>
                <c:pt idx="5">
                  <c:v>5.6356533049999999</c:v>
                </c:pt>
                <c:pt idx="6">
                  <c:v>5.5964643952499999</c:v>
                </c:pt>
                <c:pt idx="7">
                  <c:v>5.5765528677999994</c:v>
                </c:pt>
                <c:pt idx="8">
                  <c:v>5.2360322953999994</c:v>
                </c:pt>
                <c:pt idx="9">
                  <c:v>5.1965994836666658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4BB-425E-84E0-F98352FF3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2097409544"/>
        <c:axId val="844195335"/>
      </c:barChart>
      <c:catAx>
        <c:axId val="2097409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95335"/>
        <c:crosses val="autoZero"/>
        <c:auto val="1"/>
        <c:lblAlgn val="ctr"/>
        <c:lblOffset val="100"/>
        <c:noMultiLvlLbl val="0"/>
      </c:catAx>
      <c:valAx>
        <c:axId val="844195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40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4B084"/>
    </a:solidFill>
    <a:ln w="9525" cap="flat" cmpd="sng" algn="ctr">
      <a:solidFill>
        <a:srgbClr val="BF8F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1</xdr:row>
      <xdr:rowOff>57150</xdr:rowOff>
    </xdr:from>
    <xdr:to>
      <xdr:col>11</xdr:col>
      <xdr:colOff>333375</xdr:colOff>
      <xdr:row>15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13F277-BBB4-881F-DC89-9A1F4B22D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A680-EE4A-4956-9C4D-2B5F8FF8E426}">
  <dimension ref="A1:L85"/>
  <sheetViews>
    <sheetView workbookViewId="0">
      <selection sqref="A1:A1048576"/>
    </sheetView>
  </sheetViews>
  <sheetFormatPr defaultRowHeight="15"/>
  <cols>
    <col min="1" max="1" width="21.7109375" bestFit="1" customWidth="1"/>
    <col min="2" max="2" width="12.7109375" bestFit="1" customWidth="1"/>
    <col min="3" max="3" width="12.7109375" customWidth="1"/>
    <col min="4" max="4" width="19.7109375" bestFit="1" customWidth="1"/>
    <col min="5" max="5" width="16" bestFit="1" customWidth="1"/>
    <col min="6" max="6" width="30.28515625" bestFit="1" customWidth="1"/>
    <col min="7" max="7" width="31" bestFit="1" customWidth="1"/>
    <col min="8" max="8" width="12.7109375" bestFit="1" customWidth="1"/>
    <col min="9" max="9" width="26.5703125" bestFit="1" customWidth="1"/>
    <col min="10" max="10" width="22.42578125" bestFit="1" customWidth="1"/>
    <col min="11" max="11" width="16.42578125" bestFit="1" customWidth="1"/>
    <col min="12" max="12" width="33.85546875" bestFit="1" customWidth="1"/>
  </cols>
  <sheetData>
    <row r="1" spans="1:12" ht="30.7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7.2134890560000002</v>
      </c>
      <c r="C2">
        <f>AVERAGEIF(A:A, A2, B:B)</f>
        <v>7.162830352666667</v>
      </c>
      <c r="D2">
        <v>10.85622025</v>
      </c>
      <c r="E2">
        <v>0.92483121199999996</v>
      </c>
      <c r="F2">
        <v>71.025001529999997</v>
      </c>
      <c r="G2">
        <v>0.91190987800000001</v>
      </c>
      <c r="H2">
        <v>8.0435030000000005E-3</v>
      </c>
      <c r="I2">
        <v>0.46383017300000001</v>
      </c>
      <c r="J2">
        <v>0.71635228399999995</v>
      </c>
      <c r="K2">
        <v>0.20649965100000001</v>
      </c>
      <c r="L2">
        <v>0.62617784700000001</v>
      </c>
    </row>
    <row r="3" spans="1:12">
      <c r="A3" t="s">
        <v>12</v>
      </c>
      <c r="B3">
        <v>7.1953611369999999</v>
      </c>
      <c r="C3">
        <f>AVERAGEIF(A:A, A3, B:B)</f>
        <v>7.162830352666667</v>
      </c>
      <c r="D3">
        <v>10.93013</v>
      </c>
      <c r="E3">
        <v>0.96448880400000003</v>
      </c>
      <c r="F3">
        <v>70.900001529999997</v>
      </c>
      <c r="G3">
        <v>0.90342765999999997</v>
      </c>
      <c r="H3">
        <v>5.7653139999999999E-2</v>
      </c>
      <c r="I3">
        <v>0.45708888800000003</v>
      </c>
      <c r="J3">
        <v>0.72734111499999998</v>
      </c>
      <c r="K3">
        <v>0.20516973699999999</v>
      </c>
      <c r="L3">
        <v>0.51233828100000001</v>
      </c>
    </row>
    <row r="4" spans="1:12">
      <c r="A4" t="s">
        <v>12</v>
      </c>
      <c r="B4">
        <v>7.079640865</v>
      </c>
      <c r="C4">
        <f>AVERAGEIF(A:A, A4, B:B)</f>
        <v>7.162830352666667</v>
      </c>
      <c r="D4">
        <v>10.892091750000001</v>
      </c>
      <c r="E4">
        <v>0.86297595500000002</v>
      </c>
      <c r="F4">
        <v>71.150001529999997</v>
      </c>
      <c r="G4">
        <v>0.794845939</v>
      </c>
      <c r="H4">
        <v>0.16167345599999999</v>
      </c>
      <c r="I4">
        <v>0.50080859700000002</v>
      </c>
      <c r="J4">
        <v>0.72186523700000005</v>
      </c>
      <c r="K4">
        <v>0.259080172</v>
      </c>
      <c r="L4">
        <v>0.61045897000000005</v>
      </c>
    </row>
    <row r="5" spans="1:12">
      <c r="A5" t="s">
        <v>13</v>
      </c>
      <c r="B5">
        <v>6.8387608530000001</v>
      </c>
      <c r="C5">
        <f>AVERAGEIF(A:A, A5, B:B)</f>
        <v>6.8054494860000005</v>
      </c>
      <c r="D5">
        <v>10.793847080000001</v>
      </c>
      <c r="E5">
        <v>0.90355867099999998</v>
      </c>
      <c r="F5">
        <v>70.75</v>
      </c>
      <c r="G5">
        <v>0.76691782500000005</v>
      </c>
      <c r="H5">
        <v>-0.16801376600000001</v>
      </c>
      <c r="I5">
        <v>0.63362675899999998</v>
      </c>
      <c r="J5">
        <v>0.61912548499999998</v>
      </c>
      <c r="K5">
        <v>0.260188788</v>
      </c>
      <c r="L5">
        <v>0.294799596</v>
      </c>
    </row>
    <row r="6" spans="1:12">
      <c r="A6" t="s">
        <v>13</v>
      </c>
      <c r="B6">
        <v>6.7721381190000001</v>
      </c>
      <c r="C6">
        <f>AVERAGEIF(A:A, A6, B:B)</f>
        <v>6.8054494860000005</v>
      </c>
      <c r="D6">
        <v>10.85792446</v>
      </c>
      <c r="E6">
        <v>0.88423049399999998</v>
      </c>
      <c r="F6">
        <v>70.599998470000003</v>
      </c>
      <c r="G6">
        <v>0.77620363199999998</v>
      </c>
      <c r="H6">
        <v>-0.17447264500000001</v>
      </c>
      <c r="I6">
        <v>0.67249751099999999</v>
      </c>
      <c r="J6">
        <v>0.69904249900000004</v>
      </c>
      <c r="K6">
        <v>0.24363084099999999</v>
      </c>
      <c r="L6">
        <v>0.327901155</v>
      </c>
    </row>
    <row r="7" spans="1:12">
      <c r="A7" t="s">
        <v>14</v>
      </c>
      <c r="B7">
        <v>6.3206729890000002</v>
      </c>
      <c r="C7">
        <f>AVERAGEIF(A:A, A7, B:B)</f>
        <v>6.5152433259999993</v>
      </c>
      <c r="D7">
        <v>9.5152473450000006</v>
      </c>
      <c r="E7">
        <v>0.88640242800000002</v>
      </c>
      <c r="F7">
        <v>63.41999817</v>
      </c>
      <c r="G7">
        <v>0.77664482599999995</v>
      </c>
      <c r="H7">
        <v>-1.7624738000000001E-2</v>
      </c>
      <c r="I7">
        <v>0.72803848999999998</v>
      </c>
      <c r="J7">
        <v>0.77485614999999997</v>
      </c>
      <c r="K7">
        <v>0.299222767</v>
      </c>
      <c r="L7">
        <v>0.38345959800000001</v>
      </c>
    </row>
    <row r="8" spans="1:12">
      <c r="A8" t="s">
        <v>14</v>
      </c>
      <c r="B8">
        <v>6.6914248470000004</v>
      </c>
      <c r="C8">
        <f>AVERAGEIF(A:A, A8, B:B)</f>
        <v>6.5152433259999993</v>
      </c>
      <c r="D8">
        <v>9.5549917220000005</v>
      </c>
      <c r="E8">
        <v>0.87810754800000002</v>
      </c>
      <c r="F8">
        <v>63.58000183</v>
      </c>
      <c r="G8">
        <v>0.78193110200000004</v>
      </c>
      <c r="H8">
        <v>-7.9088137000000003E-2</v>
      </c>
      <c r="I8">
        <v>0.68827277399999998</v>
      </c>
      <c r="J8">
        <v>0.71765607600000003</v>
      </c>
      <c r="K8">
        <v>0.265485525</v>
      </c>
      <c r="L8">
        <v>0.51101005099999997</v>
      </c>
    </row>
    <row r="9" spans="1:12">
      <c r="A9" t="s">
        <v>14</v>
      </c>
      <c r="B9">
        <v>6.0099534989999999</v>
      </c>
      <c r="C9">
        <f>AVERAGEIF(A:A, A9, B:B)</f>
        <v>6.5152433259999993</v>
      </c>
      <c r="D9">
        <v>9.5931873319999994</v>
      </c>
      <c r="E9">
        <v>0.81432867099999995</v>
      </c>
      <c r="F9">
        <v>65.75</v>
      </c>
      <c r="G9">
        <v>0.791507721</v>
      </c>
      <c r="H9">
        <v>9.0771444000000007E-2</v>
      </c>
      <c r="I9">
        <v>0.73857140499999996</v>
      </c>
      <c r="J9">
        <v>0.66155040300000001</v>
      </c>
      <c r="K9">
        <v>0.40718296199999998</v>
      </c>
      <c r="L9">
        <v>0.32709929300000001</v>
      </c>
    </row>
    <row r="10" spans="1:12">
      <c r="A10" t="s">
        <v>14</v>
      </c>
      <c r="B10">
        <v>6.6367712020000003</v>
      </c>
      <c r="C10">
        <f>AVERAGEIF(A:A, A10, B:B)</f>
        <v>6.5152433259999993</v>
      </c>
      <c r="D10">
        <v>9.4387454989999995</v>
      </c>
      <c r="E10">
        <v>0.88292294699999996</v>
      </c>
      <c r="F10">
        <v>63.099998470000003</v>
      </c>
      <c r="G10">
        <v>0.88218611499999999</v>
      </c>
      <c r="I10">
        <v>0.74499404400000002</v>
      </c>
      <c r="J10">
        <v>0.76992124299999998</v>
      </c>
      <c r="K10">
        <v>0.30177983600000002</v>
      </c>
      <c r="L10">
        <v>0.34062474999999998</v>
      </c>
    </row>
    <row r="11" spans="1:12">
      <c r="A11" t="s">
        <v>14</v>
      </c>
      <c r="B11">
        <v>6.1097178459999997</v>
      </c>
      <c r="C11">
        <f>AVERAGEIF(A:A, A11, B:B)</f>
        <v>6.5152433259999993</v>
      </c>
      <c r="D11">
        <v>9.5513725279999999</v>
      </c>
      <c r="E11">
        <v>0.83083212399999995</v>
      </c>
      <c r="F11">
        <v>65.574996949999999</v>
      </c>
      <c r="G11">
        <v>0.78623509400000002</v>
      </c>
      <c r="H11">
        <v>-5.6306385E-2</v>
      </c>
      <c r="I11">
        <v>0.728772223</v>
      </c>
      <c r="J11">
        <v>0.65329963000000002</v>
      </c>
      <c r="K11">
        <v>0.38913855000000003</v>
      </c>
      <c r="L11">
        <v>0.36229240899999998</v>
      </c>
    </row>
    <row r="12" spans="1:12">
      <c r="A12" t="s">
        <v>14</v>
      </c>
      <c r="B12">
        <v>7.000831604</v>
      </c>
      <c r="C12">
        <f>AVERAGEIF(A:A, A12, B:B)</f>
        <v>6.5152433259999993</v>
      </c>
      <c r="D12">
        <v>9.5441131590000001</v>
      </c>
      <c r="E12">
        <v>0.91281807400000003</v>
      </c>
      <c r="F12">
        <v>63.740001679999999</v>
      </c>
      <c r="G12">
        <v>0.76671606299999995</v>
      </c>
      <c r="H12">
        <v>-5.6668512999999997E-2</v>
      </c>
      <c r="I12">
        <v>0.72251498700000005</v>
      </c>
      <c r="J12">
        <v>0.74398255300000005</v>
      </c>
      <c r="K12">
        <v>0.27410316499999998</v>
      </c>
      <c r="L12">
        <v>0.427178532</v>
      </c>
    </row>
    <row r="13" spans="1:12">
      <c r="A13" t="s">
        <v>14</v>
      </c>
      <c r="B13">
        <v>6.8373312950000003</v>
      </c>
      <c r="C13">
        <f>AVERAGEIF(A:A, A13, B:B)</f>
        <v>6.5152433259999993</v>
      </c>
      <c r="D13">
        <v>9.6073169709999995</v>
      </c>
      <c r="E13">
        <v>0.90552812800000004</v>
      </c>
      <c r="F13">
        <v>63.900001529999997</v>
      </c>
      <c r="G13">
        <v>0.80594927100000002</v>
      </c>
      <c r="H13">
        <v>-5.5444441999999997E-2</v>
      </c>
      <c r="I13">
        <v>0.65603607900000005</v>
      </c>
      <c r="J13">
        <v>0.72593128699999998</v>
      </c>
      <c r="K13">
        <v>0.24988122300000001</v>
      </c>
      <c r="L13">
        <v>0.51126664899999996</v>
      </c>
    </row>
    <row r="14" spans="1:12">
      <c r="A14" t="s">
        <v>15</v>
      </c>
      <c r="B14">
        <v>6.4506444930000004</v>
      </c>
      <c r="C14">
        <f>AVERAGEIF(A:A, A14, B:B)</f>
        <v>6.2031455040000001</v>
      </c>
      <c r="D14">
        <v>8.9042778019999993</v>
      </c>
      <c r="E14">
        <v>0.87226665000000003</v>
      </c>
      <c r="F14">
        <v>64.300003050000001</v>
      </c>
      <c r="G14">
        <v>0.70530593399999997</v>
      </c>
      <c r="H14">
        <v>3.1119337E-2</v>
      </c>
      <c r="I14">
        <v>0.76898443699999997</v>
      </c>
      <c r="J14">
        <v>0.73154014300000003</v>
      </c>
      <c r="K14">
        <v>0.25059571899999999</v>
      </c>
      <c r="L14">
        <v>0.25546312300000001</v>
      </c>
    </row>
    <row r="15" spans="1:12">
      <c r="A15" t="s">
        <v>15</v>
      </c>
      <c r="B15">
        <v>5.9556465149999998</v>
      </c>
      <c r="C15">
        <f>AVERAGEIF(A:A, A15, B:B)</f>
        <v>6.2031455040000001</v>
      </c>
      <c r="D15">
        <v>8.8987588879999997</v>
      </c>
      <c r="E15">
        <v>0.75693249699999998</v>
      </c>
      <c r="F15">
        <v>65</v>
      </c>
      <c r="G15">
        <v>0.87356907100000003</v>
      </c>
      <c r="H15">
        <v>2.0092209999999999E-2</v>
      </c>
      <c r="I15">
        <v>0.78210538600000001</v>
      </c>
      <c r="J15">
        <v>0.73502713399999997</v>
      </c>
      <c r="K15">
        <v>0.281604409</v>
      </c>
      <c r="L15">
        <v>0.38426718100000001</v>
      </c>
    </row>
    <row r="16" spans="1:12">
      <c r="A16" t="s">
        <v>16</v>
      </c>
      <c r="B16">
        <v>6.0731582639999999</v>
      </c>
      <c r="C16">
        <f>AVERAGEIF(A:A, A16, B:B)</f>
        <v>6.0311927795999996</v>
      </c>
      <c r="D16">
        <v>10.017891880000001</v>
      </c>
      <c r="E16">
        <v>0.86220556500000001</v>
      </c>
      <c r="F16">
        <v>65.940002440000001</v>
      </c>
      <c r="G16">
        <v>0.652832627</v>
      </c>
      <c r="H16">
        <v>-0.1426135</v>
      </c>
      <c r="I16">
        <v>0.88105773899999995</v>
      </c>
      <c r="J16">
        <v>0.74982589499999996</v>
      </c>
      <c r="K16">
        <v>0.27900797100000002</v>
      </c>
      <c r="L16">
        <v>0.40582373700000002</v>
      </c>
    </row>
    <row r="17" spans="1:12">
      <c r="A17" t="s">
        <v>16</v>
      </c>
      <c r="B17">
        <v>5.9005670549999998</v>
      </c>
      <c r="C17">
        <f>AVERAGEIF(A:A, A17, B:B)</f>
        <v>6.0311927795999996</v>
      </c>
      <c r="D17">
        <v>9.8878993990000001</v>
      </c>
      <c r="E17">
        <v>0.89710384600000004</v>
      </c>
      <c r="F17">
        <v>67.150001529999997</v>
      </c>
      <c r="G17">
        <v>0.82339161599999999</v>
      </c>
      <c r="H17">
        <v>-0.126742944</v>
      </c>
      <c r="I17">
        <v>0.81578046100000001</v>
      </c>
      <c r="J17">
        <v>0.67931675899999999</v>
      </c>
      <c r="K17">
        <v>0.34249693199999998</v>
      </c>
      <c r="L17">
        <v>0.43075808900000001</v>
      </c>
    </row>
    <row r="18" spans="1:12">
      <c r="A18" t="s">
        <v>16</v>
      </c>
      <c r="B18">
        <v>6.3129253390000004</v>
      </c>
      <c r="C18">
        <f>AVERAGEIF(A:A, A18, B:B)</f>
        <v>6.0311927795999996</v>
      </c>
      <c r="D18">
        <v>9.9416332240000003</v>
      </c>
      <c r="E18">
        <v>0.93846279399999999</v>
      </c>
      <c r="F18">
        <v>65.819999690000003</v>
      </c>
      <c r="G18">
        <v>0.73300367600000005</v>
      </c>
      <c r="H18">
        <v>-0.15844044099999999</v>
      </c>
      <c r="I18">
        <v>0.85179948800000005</v>
      </c>
      <c r="J18">
        <v>0.74828308799999999</v>
      </c>
      <c r="K18">
        <v>0.32823002299999998</v>
      </c>
      <c r="L18">
        <v>0.51750409600000002</v>
      </c>
    </row>
    <row r="19" spans="1:12">
      <c r="A19" t="s">
        <v>16</v>
      </c>
      <c r="B19">
        <v>5.9082789419999999</v>
      </c>
      <c r="C19">
        <f>AVERAGEIF(A:A, A19, B:B)</f>
        <v>6.0311927795999996</v>
      </c>
      <c r="D19">
        <v>9.9554214479999992</v>
      </c>
      <c r="E19">
        <v>0.88230454899999999</v>
      </c>
      <c r="F19">
        <v>67.199996949999999</v>
      </c>
      <c r="G19">
        <v>0.81947934600000005</v>
      </c>
      <c r="H19">
        <v>-8.8161420000000008E-3</v>
      </c>
      <c r="I19">
        <v>0.816256702</v>
      </c>
      <c r="J19">
        <v>0.68486005100000003</v>
      </c>
      <c r="K19">
        <v>0.345131576</v>
      </c>
      <c r="L19">
        <v>0.326574117</v>
      </c>
    </row>
    <row r="20" spans="1:12">
      <c r="A20" t="s">
        <v>16</v>
      </c>
      <c r="B20">
        <v>5.9610342980000004</v>
      </c>
      <c r="C20">
        <f>AVERAGEIF(A:A, A20, B:B)</f>
        <v>6.0311927795999996</v>
      </c>
      <c r="D20">
        <v>10.047737120000001</v>
      </c>
      <c r="E20">
        <v>0.89219451000000005</v>
      </c>
      <c r="F20">
        <v>66.059997559999999</v>
      </c>
      <c r="G20">
        <v>0.67822217900000004</v>
      </c>
      <c r="H20">
        <v>-0.13339714699999999</v>
      </c>
      <c r="I20">
        <v>0.86499625400000002</v>
      </c>
      <c r="J20">
        <v>0.71999698899999998</v>
      </c>
      <c r="K20">
        <v>0.31822228400000002</v>
      </c>
      <c r="L20">
        <v>0.28637057500000002</v>
      </c>
    </row>
    <row r="21" spans="1:12">
      <c r="A21" t="s">
        <v>17</v>
      </c>
      <c r="B21">
        <v>4.8239760399999998</v>
      </c>
      <c r="C21">
        <f>AVERAGEIF(A:A, A21, B:B)</f>
        <v>5.6356533049999999</v>
      </c>
      <c r="D21">
        <v>10.695517540000001</v>
      </c>
      <c r="E21">
        <v>0.90786772999999998</v>
      </c>
      <c r="F21">
        <v>65.239997860000003</v>
      </c>
      <c r="G21">
        <v>0.86987036500000003</v>
      </c>
      <c r="H21">
        <v>-5.3820446000000001E-2</v>
      </c>
      <c r="I21">
        <v>0.58252245199999997</v>
      </c>
      <c r="J21">
        <v>0.50599247199999997</v>
      </c>
      <c r="K21">
        <v>0.51371920100000001</v>
      </c>
    </row>
    <row r="22" spans="1:12">
      <c r="A22" t="s">
        <v>17</v>
      </c>
      <c r="B22">
        <v>5.7005233759999996</v>
      </c>
      <c r="C22">
        <f>AVERAGEIF(A:A, A22, B:B)</f>
        <v>5.6356533049999999</v>
      </c>
      <c r="D22">
        <v>10.70905685</v>
      </c>
      <c r="E22">
        <v>0.90414345299999999</v>
      </c>
      <c r="F22">
        <v>64.760002139999997</v>
      </c>
      <c r="G22">
        <v>0.89593142299999995</v>
      </c>
      <c r="H22">
        <v>3.4959070000000002E-2</v>
      </c>
      <c r="I22">
        <v>0.50610393300000001</v>
      </c>
      <c r="J22">
        <v>0.70742237600000002</v>
      </c>
      <c r="K22">
        <v>0.42188948399999998</v>
      </c>
    </row>
    <row r="23" spans="1:12">
      <c r="A23" t="s">
        <v>17</v>
      </c>
      <c r="B23">
        <v>5.0271868709999996</v>
      </c>
      <c r="C23">
        <f>AVERAGEIF(A:A, A23, B:B)</f>
        <v>5.6356533049999999</v>
      </c>
      <c r="D23">
        <v>10.71521664</v>
      </c>
      <c r="E23">
        <v>0.91134959500000001</v>
      </c>
      <c r="F23">
        <v>65.480003359999998</v>
      </c>
      <c r="G23">
        <v>0.68182289600000001</v>
      </c>
      <c r="I23">
        <v>0.43791526600000003</v>
      </c>
      <c r="J23">
        <v>0.55941575799999999</v>
      </c>
      <c r="K23">
        <v>0.380814761</v>
      </c>
    </row>
    <row r="24" spans="1:12">
      <c r="A24" t="s">
        <v>17</v>
      </c>
      <c r="B24">
        <v>5.9368691440000001</v>
      </c>
      <c r="C24">
        <f>AVERAGEIF(A:A, A24, B:B)</f>
        <v>5.6356533049999999</v>
      </c>
      <c r="D24">
        <v>10.705484390000001</v>
      </c>
      <c r="E24">
        <v>0.87711507099999997</v>
      </c>
      <c r="F24">
        <v>65</v>
      </c>
      <c r="G24">
        <v>0.86200290899999998</v>
      </c>
      <c r="H24">
        <v>-3.043235E-3</v>
      </c>
      <c r="I24">
        <v>0.71462017300000003</v>
      </c>
      <c r="J24">
        <v>0.64103901399999996</v>
      </c>
      <c r="K24">
        <v>0.422670722</v>
      </c>
    </row>
    <row r="25" spans="1:12">
      <c r="A25" t="s">
        <v>17</v>
      </c>
      <c r="B25">
        <v>6.6897110939999997</v>
      </c>
      <c r="C25">
        <f>AVERAGEIF(A:A, A25, B:B)</f>
        <v>5.6356533049999999</v>
      </c>
      <c r="D25">
        <v>10.756429669999999</v>
      </c>
      <c r="E25">
        <v>0.88378053899999998</v>
      </c>
      <c r="F25">
        <v>65.72000122</v>
      </c>
      <c r="G25">
        <v>0.80920594899999998</v>
      </c>
      <c r="I25">
        <v>0.524703264</v>
      </c>
      <c r="J25">
        <v>0.71110761199999994</v>
      </c>
      <c r="K25">
        <v>0.30620941499999998</v>
      </c>
    </row>
    <row r="26" spans="1:12">
      <c r="A26" t="s">
        <v>18</v>
      </c>
      <c r="B26">
        <v>5.3739862440000001</v>
      </c>
      <c r="C26">
        <f>AVERAGEIF(A:A, A26, B:B)</f>
        <v>5.5964643952499999</v>
      </c>
      <c r="D26">
        <v>8.6862115860000007</v>
      </c>
      <c r="E26">
        <v>0.83427995399999999</v>
      </c>
      <c r="F26">
        <v>60.900001529999997</v>
      </c>
      <c r="G26">
        <v>0.77013474699999995</v>
      </c>
      <c r="H26">
        <v>-4.4768731999999999E-2</v>
      </c>
      <c r="I26">
        <v>0.79448419800000003</v>
      </c>
      <c r="J26">
        <v>0.70809400099999997</v>
      </c>
      <c r="K26">
        <v>0.43194496599999999</v>
      </c>
      <c r="L26">
        <v>0.53630942100000001</v>
      </c>
    </row>
    <row r="27" spans="1:12">
      <c r="A27" t="s">
        <v>18</v>
      </c>
      <c r="B27">
        <v>5.2978725430000004</v>
      </c>
      <c r="C27">
        <f>AVERAGEIF(A:A, A27, B:B)</f>
        <v>5.5964643952499999</v>
      </c>
      <c r="D27">
        <v>8.7564029689999998</v>
      </c>
      <c r="E27">
        <v>0.785262346</v>
      </c>
      <c r="F27">
        <v>61.299999239999998</v>
      </c>
      <c r="G27">
        <v>0.72561973300000004</v>
      </c>
      <c r="H27">
        <v>-9.2359527999999996E-2</v>
      </c>
      <c r="I27">
        <v>0.80142039099999995</v>
      </c>
      <c r="J27">
        <v>0.72347772099999996</v>
      </c>
      <c r="K27">
        <v>0.39207962200000002</v>
      </c>
      <c r="L27">
        <v>0.44182109800000002</v>
      </c>
    </row>
    <row r="28" spans="1:12">
      <c r="A28" t="s">
        <v>18</v>
      </c>
      <c r="B28">
        <v>5.6284193990000002</v>
      </c>
      <c r="C28">
        <f>AVERAGEIF(A:A, A28, B:B)</f>
        <v>5.5964643952499999</v>
      </c>
      <c r="D28">
        <v>8.7136459350000006</v>
      </c>
      <c r="E28">
        <v>0.79613649799999997</v>
      </c>
      <c r="F28">
        <v>61.099998470000003</v>
      </c>
      <c r="G28">
        <v>0.779935241</v>
      </c>
      <c r="H28" s="1">
        <v>6.1600000000000007E-5</v>
      </c>
      <c r="I28">
        <v>0.81699395200000002</v>
      </c>
      <c r="J28">
        <v>0.74573493000000002</v>
      </c>
      <c r="K28">
        <v>0.38778623899999998</v>
      </c>
      <c r="L28">
        <v>0.50628590600000001</v>
      </c>
    </row>
    <row r="29" spans="1:12">
      <c r="A29" t="s">
        <v>18</v>
      </c>
      <c r="B29">
        <v>6.0855793949999999</v>
      </c>
      <c r="C29">
        <f>AVERAGEIF(A:A, A29, B:B)</f>
        <v>5.5964643952499999</v>
      </c>
      <c r="D29">
        <v>8.7727603910000003</v>
      </c>
      <c r="E29">
        <v>0.83131992799999999</v>
      </c>
      <c r="F29">
        <v>61.5</v>
      </c>
      <c r="G29">
        <v>0.77893859099999996</v>
      </c>
      <c r="H29">
        <v>-3.6766574000000003E-2</v>
      </c>
      <c r="I29">
        <v>0.76260453500000003</v>
      </c>
      <c r="J29">
        <v>0.74209880800000005</v>
      </c>
      <c r="K29">
        <v>0.37236928899999999</v>
      </c>
      <c r="L29">
        <v>0.46815049600000003</v>
      </c>
    </row>
    <row r="30" spans="1:12">
      <c r="A30" t="s">
        <v>19</v>
      </c>
      <c r="B30">
        <v>5.5529150960000004</v>
      </c>
      <c r="C30">
        <f>AVERAGEIF(A:A, A30, B:B)</f>
        <v>5.5765528677999994</v>
      </c>
      <c r="D30">
        <v>9.8177175519999995</v>
      </c>
      <c r="E30">
        <v>0.90025579899999997</v>
      </c>
      <c r="F30">
        <v>65.550003050000001</v>
      </c>
      <c r="G30">
        <v>0.62097924900000001</v>
      </c>
      <c r="H30">
        <v>-0.123495042</v>
      </c>
      <c r="I30">
        <v>0.65411341199999995</v>
      </c>
      <c r="J30">
        <v>0.50173568700000004</v>
      </c>
      <c r="K30">
        <v>0.23276807399999999</v>
      </c>
      <c r="L30">
        <v>0.44791629900000002</v>
      </c>
    </row>
    <row r="31" spans="1:12">
      <c r="A31" t="s">
        <v>19</v>
      </c>
      <c r="B31">
        <v>5.2337698939999999</v>
      </c>
      <c r="C31">
        <f>AVERAGEIF(A:A, A31, B:B)</f>
        <v>5.5765528677999994</v>
      </c>
      <c r="D31">
        <v>9.8508615489999993</v>
      </c>
      <c r="E31">
        <v>0.90456926800000004</v>
      </c>
      <c r="F31">
        <v>65.775001529999997</v>
      </c>
      <c r="G31">
        <v>0.64360237099999995</v>
      </c>
      <c r="H31">
        <v>-0.176503614</v>
      </c>
      <c r="I31">
        <v>0.718455493</v>
      </c>
      <c r="J31">
        <v>0.40888357199999997</v>
      </c>
      <c r="K31">
        <v>0.235728621</v>
      </c>
      <c r="L31">
        <v>0.42127868499999999</v>
      </c>
    </row>
    <row r="32" spans="1:12">
      <c r="A32" t="s">
        <v>19</v>
      </c>
      <c r="B32">
        <v>5.6576499939999998</v>
      </c>
      <c r="C32">
        <f>AVERAGEIF(A:A, A32, B:B)</f>
        <v>5.5765528677999994</v>
      </c>
      <c r="D32">
        <v>9.4890985489999995</v>
      </c>
      <c r="E32">
        <v>0.91789865500000001</v>
      </c>
      <c r="F32">
        <v>60.060001370000002</v>
      </c>
      <c r="G32">
        <v>0.70708048300000004</v>
      </c>
      <c r="H32">
        <v>-0.24734436000000001</v>
      </c>
      <c r="I32">
        <v>0.70827472199999997</v>
      </c>
      <c r="J32">
        <v>0.53511917600000003</v>
      </c>
      <c r="K32">
        <v>0.26940035800000001</v>
      </c>
      <c r="L32">
        <v>0.59328770600000003</v>
      </c>
    </row>
    <row r="33" spans="1:12">
      <c r="A33" t="s">
        <v>19</v>
      </c>
      <c r="B33">
        <v>5.8214530939999998</v>
      </c>
      <c r="C33">
        <f>AVERAGEIF(A:A, A33, B:B)</f>
        <v>5.5765528677999994</v>
      </c>
      <c r="D33">
        <v>9.8667821880000002</v>
      </c>
      <c r="E33">
        <v>0.91674047700000005</v>
      </c>
      <c r="F33">
        <v>66</v>
      </c>
      <c r="G33">
        <v>0.65693360599999995</v>
      </c>
      <c r="H33">
        <v>-0.188110471</v>
      </c>
      <c r="I33">
        <v>0.54590475599999999</v>
      </c>
      <c r="J33">
        <v>0.55898946500000002</v>
      </c>
      <c r="K33">
        <v>0.189821407</v>
      </c>
      <c r="L33">
        <v>0.46081259800000002</v>
      </c>
    </row>
    <row r="34" spans="1:12">
      <c r="A34" t="s">
        <v>19</v>
      </c>
      <c r="B34">
        <v>5.6169762609999996</v>
      </c>
      <c r="C34">
        <f>AVERAGEIF(A:A, A34, B:B)</f>
        <v>5.5765528677999994</v>
      </c>
      <c r="D34">
        <v>9.5761880870000002</v>
      </c>
      <c r="E34">
        <v>0.85752767299999999</v>
      </c>
      <c r="F34">
        <v>60.619998930000001</v>
      </c>
      <c r="G34">
        <v>0.66729950900000001</v>
      </c>
      <c r="H34">
        <v>-0.22623062099999999</v>
      </c>
      <c r="I34">
        <v>0.69484943200000004</v>
      </c>
      <c r="J34">
        <v>0.50245600899999998</v>
      </c>
      <c r="K34">
        <v>0.23498140300000001</v>
      </c>
      <c r="L34">
        <v>0.54361438799999995</v>
      </c>
    </row>
    <row r="35" spans="1:12">
      <c r="A35" t="s">
        <v>20</v>
      </c>
      <c r="B35">
        <v>4.7446274759999998</v>
      </c>
      <c r="C35">
        <f>AVERAGEIF(A:A, A35, B:B)</f>
        <v>5.2360322953999994</v>
      </c>
      <c r="D35">
        <v>9.3520126339999994</v>
      </c>
      <c r="E35">
        <v>0.80325865699999999</v>
      </c>
      <c r="F35">
        <v>66.400001529999997</v>
      </c>
      <c r="G35">
        <v>0.38508343699999997</v>
      </c>
      <c r="H35">
        <v>2.798254E-3</v>
      </c>
      <c r="I35">
        <v>0.740609348</v>
      </c>
      <c r="J35">
        <v>0.54442781200000001</v>
      </c>
      <c r="K35">
        <v>0.21519775699999999</v>
      </c>
    </row>
    <row r="36" spans="1:12">
      <c r="A36" t="s">
        <v>20</v>
      </c>
      <c r="B36">
        <v>5.3171944619999998</v>
      </c>
      <c r="C36">
        <f>AVERAGEIF(A:A, A36, B:B)</f>
        <v>5.2360322953999994</v>
      </c>
      <c r="D36">
        <v>9.3127374649999997</v>
      </c>
      <c r="E36">
        <v>0.810234487</v>
      </c>
      <c r="F36">
        <v>65.599998470000003</v>
      </c>
      <c r="G36">
        <v>0.52956128099999999</v>
      </c>
      <c r="H36">
        <v>-0.18297538199999999</v>
      </c>
      <c r="I36">
        <v>0.63798165299999998</v>
      </c>
      <c r="J36">
        <v>0.50273626999999999</v>
      </c>
      <c r="K36">
        <v>0.25489664099999998</v>
      </c>
    </row>
    <row r="37" spans="1:12">
      <c r="A37" t="s">
        <v>20</v>
      </c>
      <c r="B37">
        <v>5.4635667799999998</v>
      </c>
      <c r="C37">
        <f>AVERAGEIF(A:A, A37, B:B)</f>
        <v>5.2360322953999994</v>
      </c>
      <c r="D37">
        <v>9.3029823300000007</v>
      </c>
      <c r="F37">
        <v>65.5</v>
      </c>
      <c r="G37">
        <v>0.59269583199999998</v>
      </c>
      <c r="H37">
        <v>-0.20763209499999999</v>
      </c>
      <c r="I37">
        <v>0.61803787899999996</v>
      </c>
    </row>
    <row r="38" spans="1:12">
      <c r="A38" t="s">
        <v>20</v>
      </c>
      <c r="B38">
        <v>5.4377551080000002</v>
      </c>
      <c r="C38">
        <f>AVERAGEIF(A:A, A38, B:B)</f>
        <v>5.2360322953999994</v>
      </c>
      <c r="D38">
        <v>9.2813005450000006</v>
      </c>
      <c r="E38">
        <v>0.86764889999999995</v>
      </c>
      <c r="F38">
        <v>66.5</v>
      </c>
      <c r="G38">
        <v>0.57389068600000004</v>
      </c>
      <c r="H38">
        <v>-0.11853615200000001</v>
      </c>
      <c r="I38">
        <v>0.72426366799999997</v>
      </c>
      <c r="J38">
        <v>0.52416920700000003</v>
      </c>
      <c r="K38">
        <v>0.31062975500000001</v>
      </c>
    </row>
    <row r="39" spans="1:12">
      <c r="A39" t="s">
        <v>20</v>
      </c>
      <c r="B39">
        <v>5.2170176509999999</v>
      </c>
      <c r="C39">
        <f>AVERAGEIF(A:A, A39, B:B)</f>
        <v>5.2360322953999994</v>
      </c>
      <c r="D39">
        <v>9.3035163880000002</v>
      </c>
      <c r="E39">
        <v>0.84071028199999998</v>
      </c>
      <c r="F39">
        <v>66.599998470000003</v>
      </c>
      <c r="G39">
        <v>0.55848693800000004</v>
      </c>
      <c r="H39">
        <v>-0.111191154</v>
      </c>
      <c r="I39">
        <v>0.71190005499999998</v>
      </c>
      <c r="J39">
        <v>0.49802228799999998</v>
      </c>
      <c r="K39">
        <v>0.25777915099999998</v>
      </c>
    </row>
    <row r="40" spans="1:12">
      <c r="A40" t="s">
        <v>21</v>
      </c>
      <c r="B40">
        <v>5.5690917969999996</v>
      </c>
      <c r="C40">
        <f>AVERAGEIF(A:A, A40, B:B)</f>
        <v>5.1965994836666658</v>
      </c>
      <c r="D40">
        <v>9.1229906080000003</v>
      </c>
      <c r="E40">
        <v>0.81894898400000005</v>
      </c>
      <c r="F40">
        <v>62.240001679999999</v>
      </c>
      <c r="G40">
        <v>0.81020146599999998</v>
      </c>
      <c r="H40">
        <v>0.35163271400000001</v>
      </c>
      <c r="I40">
        <v>0.80242812600000002</v>
      </c>
      <c r="J40">
        <v>0.66367560599999997</v>
      </c>
      <c r="K40">
        <v>0.21734990200000001</v>
      </c>
      <c r="L40">
        <v>0.97950077099999999</v>
      </c>
    </row>
    <row r="41" spans="1:12">
      <c r="A41" t="s">
        <v>21</v>
      </c>
      <c r="B41">
        <v>4.9385781289999997</v>
      </c>
      <c r="C41">
        <f>AVERAGEIF(A:A, A41, B:B)</f>
        <v>5.1965994836666658</v>
      </c>
      <c r="D41">
        <v>9.1668090820000003</v>
      </c>
      <c r="E41">
        <v>0.88034194700000001</v>
      </c>
      <c r="F41">
        <v>62.41999817</v>
      </c>
      <c r="G41">
        <v>0.83422249599999998</v>
      </c>
      <c r="H41">
        <v>0.26683354399999998</v>
      </c>
      <c r="I41">
        <v>0.65033847099999997</v>
      </c>
      <c r="J41">
        <v>0.77463912999999995</v>
      </c>
      <c r="K41">
        <v>0.32409787200000001</v>
      </c>
      <c r="L41">
        <v>0.95849233899999997</v>
      </c>
    </row>
    <row r="42" spans="1:12">
      <c r="A42" t="s">
        <v>21</v>
      </c>
      <c r="B42">
        <v>5.0821285249999999</v>
      </c>
      <c r="C42">
        <f>AVERAGEIF(A:A, A42, B:B)</f>
        <v>5.1965994836666658</v>
      </c>
      <c r="D42">
        <v>9.2189111710000002</v>
      </c>
      <c r="E42">
        <v>0.84757441300000003</v>
      </c>
      <c r="F42">
        <v>62.599998470000003</v>
      </c>
      <c r="G42">
        <v>0.83010154999999997</v>
      </c>
      <c r="H42">
        <v>0.27632516600000001</v>
      </c>
      <c r="I42">
        <v>0.63395577700000005</v>
      </c>
      <c r="J42">
        <v>0.72323262700000002</v>
      </c>
      <c r="K42">
        <v>0.31158930099999999</v>
      </c>
      <c r="L42">
        <v>0.94639301300000001</v>
      </c>
    </row>
    <row r="43" spans="1:12">
      <c r="A43" t="s">
        <v>22</v>
      </c>
      <c r="B43">
        <v>4.6395483019999997</v>
      </c>
      <c r="C43">
        <f>AVERAGEIF(A:A, A43, B:B)</f>
        <v>5.0519320488000004</v>
      </c>
      <c r="D43">
        <v>9.4549303049999995</v>
      </c>
      <c r="E43">
        <v>0.63769829300000003</v>
      </c>
      <c r="F43">
        <v>69.050003050000001</v>
      </c>
      <c r="G43">
        <v>0.74961102000000002</v>
      </c>
      <c r="H43">
        <v>-2.8629376000000002E-2</v>
      </c>
      <c r="I43">
        <v>0.87613463400000002</v>
      </c>
      <c r="J43">
        <v>0.54724043600000005</v>
      </c>
      <c r="K43">
        <v>0.33388412000000001</v>
      </c>
      <c r="L43">
        <v>0.45773753499999997</v>
      </c>
    </row>
    <row r="44" spans="1:12">
      <c r="A44" t="s">
        <v>22</v>
      </c>
      <c r="B44">
        <v>4.9953179360000002</v>
      </c>
      <c r="C44">
        <f>AVERAGEIF(A:A, A44, B:B)</f>
        <v>5.0519320488000004</v>
      </c>
      <c r="D44">
        <v>9.521978378</v>
      </c>
      <c r="E44">
        <v>0.68636488900000003</v>
      </c>
      <c r="F44">
        <v>69.099998470000003</v>
      </c>
      <c r="G44">
        <v>0.77735143900000003</v>
      </c>
      <c r="H44">
        <v>-9.9057563000000001E-2</v>
      </c>
      <c r="I44">
        <v>0.91428428900000003</v>
      </c>
      <c r="J44">
        <v>0.54818928200000006</v>
      </c>
      <c r="K44">
        <v>0.27382737400000001</v>
      </c>
      <c r="L44">
        <v>0.33662787100000002</v>
      </c>
    </row>
    <row r="45" spans="1:12">
      <c r="A45" t="s">
        <v>22</v>
      </c>
      <c r="B45">
        <v>5.3649096490000003</v>
      </c>
      <c r="C45">
        <f>AVERAGEIF(A:A, A45, B:B)</f>
        <v>5.0519320488000004</v>
      </c>
      <c r="D45">
        <v>9.4874000550000002</v>
      </c>
      <c r="E45">
        <v>0.71011501600000004</v>
      </c>
      <c r="F45">
        <v>69.125</v>
      </c>
      <c r="G45">
        <v>0.75367105000000001</v>
      </c>
      <c r="H45">
        <v>6.3312139999999999E-3</v>
      </c>
      <c r="I45">
        <v>0.89135897200000003</v>
      </c>
      <c r="J45">
        <v>0.56348615899999999</v>
      </c>
      <c r="K45">
        <v>0.26506611699999999</v>
      </c>
      <c r="L45">
        <v>0.37340283400000002</v>
      </c>
    </row>
    <row r="46" spans="1:12">
      <c r="A46" t="s">
        <v>22</v>
      </c>
      <c r="B46">
        <v>5.0044026370000001</v>
      </c>
      <c r="C46">
        <f>AVERAGEIF(A:A, A46, B:B)</f>
        <v>5.0519320488000004</v>
      </c>
      <c r="D46">
        <v>9.4968042369999992</v>
      </c>
      <c r="E46">
        <v>0.68359166400000004</v>
      </c>
      <c r="F46">
        <v>69.074996949999999</v>
      </c>
      <c r="G46">
        <v>0.82421231299999997</v>
      </c>
      <c r="H46">
        <v>9.0699820000000007E-3</v>
      </c>
      <c r="I46">
        <v>0.899129391</v>
      </c>
      <c r="J46">
        <v>0.592044652</v>
      </c>
      <c r="K46">
        <v>0.31899672699999998</v>
      </c>
      <c r="L46">
        <v>0.435337961</v>
      </c>
    </row>
    <row r="47" spans="1:12">
      <c r="A47" t="s">
        <v>22</v>
      </c>
      <c r="B47">
        <v>5.2554817199999997</v>
      </c>
      <c r="C47">
        <f>AVERAGEIF(A:A, A47, B:B)</f>
        <v>5.0519320488000004</v>
      </c>
      <c r="D47">
        <v>9.5622873310000003</v>
      </c>
      <c r="E47">
        <v>0.70188278000000004</v>
      </c>
      <c r="F47">
        <v>69.150001529999997</v>
      </c>
      <c r="G47">
        <v>0.82745271899999995</v>
      </c>
      <c r="H47">
        <v>4.4741827999999997E-2</v>
      </c>
      <c r="I47">
        <v>0.89612662799999998</v>
      </c>
      <c r="J47">
        <v>0.55383008700000003</v>
      </c>
      <c r="K47">
        <v>0.25365448000000002</v>
      </c>
      <c r="L47">
        <v>0.472924024</v>
      </c>
    </row>
    <row r="48" spans="1:12">
      <c r="A48" t="s">
        <v>23</v>
      </c>
      <c r="B48">
        <v>5.1522793770000002</v>
      </c>
      <c r="C48">
        <f>AVERAGEIF(A:A, A48, B:B)</f>
        <v>4.9344806671666666</v>
      </c>
      <c r="D48">
        <v>9.5554475780000008</v>
      </c>
      <c r="E48">
        <v>0.78703939899999997</v>
      </c>
      <c r="F48">
        <v>63.349998470000003</v>
      </c>
      <c r="G48">
        <v>0.73103046400000005</v>
      </c>
      <c r="H48">
        <v>-0.226532966</v>
      </c>
      <c r="I48">
        <v>0.652539015</v>
      </c>
      <c r="J48">
        <v>0.51152688300000004</v>
      </c>
      <c r="K48">
        <v>0.19831866000000001</v>
      </c>
      <c r="L48">
        <v>0.76658344300000003</v>
      </c>
    </row>
    <row r="49" spans="1:12">
      <c r="A49" t="s">
        <v>23</v>
      </c>
      <c r="B49">
        <v>4.7278709409999999</v>
      </c>
      <c r="C49">
        <f>AVERAGEIF(A:A, A49, B:B)</f>
        <v>4.9344806671666666</v>
      </c>
      <c r="D49">
        <v>9.1541872019999992</v>
      </c>
      <c r="E49">
        <v>0.85441487999999999</v>
      </c>
      <c r="F49">
        <v>60.58000183</v>
      </c>
      <c r="G49">
        <v>0.77152818400000001</v>
      </c>
      <c r="H49">
        <v>-0.23473222599999999</v>
      </c>
      <c r="I49">
        <v>0.77411717199999996</v>
      </c>
      <c r="J49">
        <v>0.46875560300000002</v>
      </c>
      <c r="K49">
        <v>0.27569514499999997</v>
      </c>
      <c r="L49">
        <v>0.75470662099999997</v>
      </c>
    </row>
    <row r="50" spans="1:12">
      <c r="A50" t="s">
        <v>23</v>
      </c>
      <c r="B50">
        <v>4.5681595799999997</v>
      </c>
      <c r="C50">
        <f>AVERAGEIF(A:A, A50, B:B)</f>
        <v>4.9344806671666666</v>
      </c>
      <c r="D50">
        <v>9.3659915920000003</v>
      </c>
      <c r="E50">
        <v>0.753246784</v>
      </c>
      <c r="F50">
        <v>60.86000061</v>
      </c>
      <c r="G50">
        <v>0.52204632799999995</v>
      </c>
      <c r="H50">
        <v>-0.20672869699999999</v>
      </c>
      <c r="I50">
        <v>0.87090998900000005</v>
      </c>
      <c r="J50">
        <v>0.47429126500000002</v>
      </c>
      <c r="K50">
        <v>0.28435748799999999</v>
      </c>
      <c r="L50">
        <v>0.70840549500000005</v>
      </c>
    </row>
    <row r="51" spans="1:12">
      <c r="A51" t="s">
        <v>23</v>
      </c>
      <c r="B51">
        <v>4.8171892170000001</v>
      </c>
      <c r="C51">
        <f>AVERAGEIF(A:A, A51, B:B)</f>
        <v>4.9344806671666666</v>
      </c>
      <c r="D51">
        <v>9.4471797940000002</v>
      </c>
      <c r="E51">
        <v>0.68426722299999998</v>
      </c>
      <c r="F51">
        <v>61.13999939</v>
      </c>
      <c r="G51">
        <v>0.60104328399999996</v>
      </c>
      <c r="H51">
        <v>-2.9483546999999999E-2</v>
      </c>
      <c r="I51">
        <v>0.71512472599999999</v>
      </c>
      <c r="J51">
        <v>0.56081765900000002</v>
      </c>
      <c r="K51">
        <v>0.22679542</v>
      </c>
      <c r="L51">
        <v>0.79229122399999996</v>
      </c>
    </row>
    <row r="52" spans="1:12">
      <c r="A52" t="s">
        <v>23</v>
      </c>
      <c r="B52">
        <v>5.1679954529999996</v>
      </c>
      <c r="C52">
        <f>AVERAGEIF(A:A, A52, B:B)</f>
        <v>4.9344806671666666</v>
      </c>
      <c r="D52">
        <v>9.5616722109999994</v>
      </c>
      <c r="E52">
        <v>0.781229913</v>
      </c>
      <c r="F52">
        <v>63.474998470000003</v>
      </c>
      <c r="G52">
        <v>0.77244925499999995</v>
      </c>
      <c r="H52">
        <v>-0.23302252600000001</v>
      </c>
      <c r="I52">
        <v>0.56120628100000003</v>
      </c>
      <c r="J52">
        <v>0.52707266799999997</v>
      </c>
      <c r="K52">
        <v>0.19139166199999999</v>
      </c>
      <c r="L52">
        <v>0.83437192400000004</v>
      </c>
    </row>
    <row r="53" spans="1:12">
      <c r="A53" t="s">
        <v>23</v>
      </c>
      <c r="B53">
        <v>5.1733894349999998</v>
      </c>
      <c r="C53">
        <f>AVERAGEIF(A:A, A53, B:B)</f>
        <v>4.9344806671666666</v>
      </c>
      <c r="D53">
        <v>9.5778989790000004</v>
      </c>
      <c r="E53">
        <v>0.88675641999999999</v>
      </c>
      <c r="F53">
        <v>63.599998470000003</v>
      </c>
      <c r="G53">
        <v>0.85424852399999995</v>
      </c>
      <c r="H53">
        <v>-0.215776786</v>
      </c>
      <c r="I53">
        <v>0.45726066799999998</v>
      </c>
      <c r="J53">
        <v>0.57689714400000003</v>
      </c>
      <c r="K53">
        <v>0.16392025399999999</v>
      </c>
      <c r="L53">
        <v>0.85784536600000005</v>
      </c>
    </row>
    <row r="54" spans="1:12">
      <c r="A54" t="s">
        <v>24</v>
      </c>
      <c r="B54">
        <v>4.8998069759999998</v>
      </c>
      <c r="C54">
        <f>AVERAGEIF(A:A, A54, B:B)</f>
        <v>4.9316420554999993</v>
      </c>
      <c r="D54">
        <v>9.2535533910000005</v>
      </c>
      <c r="E54">
        <v>0.76560384000000004</v>
      </c>
      <c r="F54">
        <v>67</v>
      </c>
      <c r="G54">
        <v>0.34156566900000002</v>
      </c>
      <c r="H54">
        <v>5.8206389999999998E-3</v>
      </c>
      <c r="I54">
        <v>0.92612499000000004</v>
      </c>
      <c r="J54">
        <v>0.57017803199999995</v>
      </c>
      <c r="K54">
        <v>0.29646581399999999</v>
      </c>
      <c r="L54">
        <v>0.40355229399999998</v>
      </c>
    </row>
    <row r="55" spans="1:12">
      <c r="A55" t="s">
        <v>24</v>
      </c>
      <c r="B55">
        <v>4.9634771349999998</v>
      </c>
      <c r="C55">
        <f>AVERAGEIF(A:A, A55, B:B)</f>
        <v>4.9316420554999993</v>
      </c>
      <c r="D55">
        <v>9.2832164759999998</v>
      </c>
      <c r="E55">
        <v>0.73523217399999996</v>
      </c>
      <c r="F55">
        <v>67</v>
      </c>
      <c r="G55">
        <v>0.25753381800000003</v>
      </c>
      <c r="H55">
        <v>-2.5712101000000001E-2</v>
      </c>
      <c r="I55">
        <v>0.95873987699999996</v>
      </c>
      <c r="J55">
        <v>0.50685566699999995</v>
      </c>
      <c r="K55">
        <v>0.390204102</v>
      </c>
    </row>
    <row r="56" spans="1:12">
      <c r="A56" t="s">
        <v>25</v>
      </c>
      <c r="B56">
        <v>5.0522785189999997</v>
      </c>
      <c r="C56">
        <f>AVERAGEIF(A:A, A56, B:B)</f>
        <v>4.659503301</v>
      </c>
      <c r="D56">
        <v>7.885724068</v>
      </c>
      <c r="E56">
        <v>0.46655347899999999</v>
      </c>
      <c r="F56">
        <v>60.159999849999998</v>
      </c>
      <c r="G56">
        <v>0.60601216599999996</v>
      </c>
      <c r="H56">
        <v>-4.3471719999999998E-2</v>
      </c>
      <c r="I56">
        <v>0.80181992099999999</v>
      </c>
      <c r="J56">
        <v>0.544638395</v>
      </c>
      <c r="K56">
        <v>0.231860757</v>
      </c>
      <c r="L56">
        <v>0.76193243300000002</v>
      </c>
    </row>
    <row r="57" spans="1:12">
      <c r="A57" t="s">
        <v>25</v>
      </c>
      <c r="B57">
        <v>4.3189091680000002</v>
      </c>
      <c r="C57">
        <f>AVERAGEIF(A:A, A57, B:B)</f>
        <v>4.659503301</v>
      </c>
      <c r="D57">
        <v>7.7828416819999999</v>
      </c>
      <c r="E57">
        <v>0.672002196</v>
      </c>
      <c r="F57">
        <v>59.119998930000001</v>
      </c>
      <c r="G57">
        <v>0.61166423599999997</v>
      </c>
      <c r="H57">
        <v>6.8531953000000007E-2</v>
      </c>
      <c r="I57">
        <v>0.78591620900000003</v>
      </c>
      <c r="J57">
        <v>0.45865476100000002</v>
      </c>
      <c r="K57">
        <v>0.32079279399999999</v>
      </c>
      <c r="L57">
        <v>0.61373704699999998</v>
      </c>
    </row>
    <row r="58" spans="1:12">
      <c r="A58" t="s">
        <v>25</v>
      </c>
      <c r="B58">
        <v>4.607322216</v>
      </c>
      <c r="C58">
        <f>AVERAGEIF(A:A, A58, B:B)</f>
        <v>4.659503301</v>
      </c>
      <c r="D58">
        <v>7.8387813570000002</v>
      </c>
      <c r="E58">
        <v>0.51417070600000003</v>
      </c>
      <c r="F58">
        <v>59.63999939</v>
      </c>
      <c r="G58">
        <v>0.60453832100000005</v>
      </c>
      <c r="H58">
        <v>4.0541437E-2</v>
      </c>
      <c r="I58">
        <v>0.80611687899999995</v>
      </c>
      <c r="J58">
        <v>0.48425555199999998</v>
      </c>
      <c r="K58">
        <v>0.31313815699999997</v>
      </c>
      <c r="L58">
        <v>0.73276013100000004</v>
      </c>
    </row>
    <row r="59" spans="1:12">
      <c r="A59" t="s">
        <v>26</v>
      </c>
      <c r="B59">
        <v>4.2893109320000002</v>
      </c>
      <c r="C59">
        <f>AVERAGEIF(A:A, A59, B:B)</f>
        <v>4.5854132175000002</v>
      </c>
      <c r="D59">
        <v>9.0436344149999996</v>
      </c>
      <c r="E59">
        <v>0.68187677899999999</v>
      </c>
      <c r="F59">
        <v>63.840000150000002</v>
      </c>
      <c r="G59">
        <v>0.52019780900000001</v>
      </c>
      <c r="H59">
        <v>-0.23194752599999999</v>
      </c>
      <c r="I59">
        <v>0.84951311299999999</v>
      </c>
      <c r="J59">
        <v>0.45341751000000002</v>
      </c>
      <c r="K59">
        <v>0.46941882400000001</v>
      </c>
      <c r="L59">
        <v>0.34433749299999999</v>
      </c>
    </row>
    <row r="60" spans="1:12">
      <c r="A60" t="s">
        <v>26</v>
      </c>
      <c r="B60">
        <v>4.8815155030000001</v>
      </c>
      <c r="C60">
        <f>AVERAGEIF(A:A, A60, B:B)</f>
        <v>4.5854132175000002</v>
      </c>
      <c r="D60">
        <v>9.1807479860000001</v>
      </c>
      <c r="E60">
        <v>0.75964432999999998</v>
      </c>
      <c r="F60">
        <v>64.08000183</v>
      </c>
      <c r="G60">
        <v>0.60541075499999997</v>
      </c>
      <c r="H60">
        <v>-0.25220981199999998</v>
      </c>
      <c r="I60">
        <v>0.81744486100000002</v>
      </c>
      <c r="J60">
        <v>0.45375159399999998</v>
      </c>
      <c r="K60">
        <v>0.41171741499999998</v>
      </c>
      <c r="L60">
        <v>0.38762021099999999</v>
      </c>
    </row>
    <row r="61" spans="1:12">
      <c r="A61" t="s">
        <v>27</v>
      </c>
      <c r="B61">
        <v>4.3602499960000003</v>
      </c>
      <c r="C61">
        <f>AVERAGEIF(A:A, A61, B:B)</f>
        <v>4.4202988745000003</v>
      </c>
      <c r="D61">
        <v>8.9917726519999999</v>
      </c>
      <c r="E61">
        <v>0.75259286199999997</v>
      </c>
      <c r="F61">
        <v>51.840000150000002</v>
      </c>
      <c r="G61">
        <v>0.45602858099999999</v>
      </c>
      <c r="H61">
        <v>-0.13694484500000001</v>
      </c>
      <c r="I61">
        <v>0.90630048500000004</v>
      </c>
      <c r="J61">
        <v>0.59080821299999997</v>
      </c>
      <c r="K61">
        <v>0.30489006600000002</v>
      </c>
      <c r="L61">
        <v>0.23709069199999999</v>
      </c>
    </row>
    <row r="62" spans="1:12">
      <c r="A62" t="s">
        <v>27</v>
      </c>
      <c r="B62">
        <v>3.937106848</v>
      </c>
      <c r="C62">
        <f>AVERAGEIF(A:A, A62, B:B)</f>
        <v>4.4202988745000003</v>
      </c>
      <c r="D62">
        <v>9.0046100619999994</v>
      </c>
      <c r="E62">
        <v>0.72159075699999997</v>
      </c>
      <c r="F62">
        <v>52.459999080000003</v>
      </c>
      <c r="G62">
        <v>0.40955486899999999</v>
      </c>
      <c r="H62">
        <v>-0.104444101</v>
      </c>
      <c r="I62">
        <v>0.81637549399999998</v>
      </c>
      <c r="J62">
        <v>0.65004670600000003</v>
      </c>
      <c r="K62">
        <v>0.37087500099999998</v>
      </c>
      <c r="L62">
        <v>0.54773235300000001</v>
      </c>
    </row>
    <row r="63" spans="1:12">
      <c r="A63" t="s">
        <v>27</v>
      </c>
      <c r="B63">
        <v>3.794837952</v>
      </c>
      <c r="C63">
        <f>AVERAGEIF(A:A, A63, B:B)</f>
        <v>4.4202988745000003</v>
      </c>
      <c r="D63">
        <v>9.0167350769999999</v>
      </c>
      <c r="E63">
        <v>0.75461548599999995</v>
      </c>
      <c r="F63">
        <v>53.08000183</v>
      </c>
      <c r="G63">
        <v>0.37454155099999997</v>
      </c>
      <c r="H63">
        <v>-0.168621093</v>
      </c>
      <c r="I63">
        <v>0.83407562999999996</v>
      </c>
      <c r="J63">
        <v>0.59524941399999998</v>
      </c>
      <c r="K63">
        <v>0.36786413200000001</v>
      </c>
      <c r="L63">
        <v>0.57234567400000003</v>
      </c>
    </row>
    <row r="64" spans="1:12">
      <c r="A64" t="s">
        <v>27</v>
      </c>
      <c r="B64">
        <v>5.5890007019999999</v>
      </c>
      <c r="C64">
        <f>AVERAGEIF(A:A, A64, B:B)</f>
        <v>4.4202988745000003</v>
      </c>
      <c r="D64">
        <v>8.9457817080000002</v>
      </c>
      <c r="E64">
        <v>0.72309434399999994</v>
      </c>
      <c r="F64">
        <v>51.22000122</v>
      </c>
      <c r="G64">
        <v>0.58370178900000003</v>
      </c>
      <c r="H64">
        <v>5.4425657000000002E-2</v>
      </c>
      <c r="I64">
        <v>0.91132032900000004</v>
      </c>
      <c r="J64">
        <v>0.66683256599999996</v>
      </c>
      <c r="K64">
        <v>0.36106315300000003</v>
      </c>
      <c r="L64">
        <v>0.23238717</v>
      </c>
    </row>
    <row r="65" spans="1:12">
      <c r="A65" t="s">
        <v>28</v>
      </c>
      <c r="B65">
        <v>3.7235898970000001</v>
      </c>
      <c r="C65">
        <f>AVERAGEIF(A:A, A65, B:B)</f>
        <v>4.1788670420000003</v>
      </c>
      <c r="D65">
        <v>7.3025736810000001</v>
      </c>
      <c r="E65">
        <v>0.45066231499999998</v>
      </c>
      <c r="F65">
        <v>50.5</v>
      </c>
      <c r="G65">
        <v>0.71811431599999997</v>
      </c>
      <c r="H65">
        <v>0.17316928500000001</v>
      </c>
      <c r="I65">
        <v>0.88168632999999996</v>
      </c>
      <c r="J65">
        <v>0.414297044</v>
      </c>
      <c r="K65">
        <v>0.25819549000000003</v>
      </c>
      <c r="L65">
        <v>0.61207210999999995</v>
      </c>
    </row>
    <row r="66" spans="1:12">
      <c r="A66" t="s">
        <v>28</v>
      </c>
      <c r="B66">
        <v>4.4017782209999998</v>
      </c>
      <c r="C66">
        <f>AVERAGEIF(A:A, A66, B:B)</f>
        <v>4.1788670420000003</v>
      </c>
      <c r="D66">
        <v>7.4724464419999999</v>
      </c>
      <c r="E66">
        <v>0.55230844000000001</v>
      </c>
      <c r="F66">
        <v>50.799999239999998</v>
      </c>
      <c r="G66">
        <v>0.67889636799999997</v>
      </c>
      <c r="H66">
        <v>0.19546912599999999</v>
      </c>
      <c r="I66">
        <v>0.85003542899999995</v>
      </c>
      <c r="J66">
        <v>0.48142144100000001</v>
      </c>
      <c r="K66">
        <v>0.23709242</v>
      </c>
      <c r="L66">
        <v>0.61154520499999998</v>
      </c>
    </row>
    <row r="67" spans="1:12">
      <c r="A67" t="s">
        <v>28</v>
      </c>
      <c r="B67">
        <v>4.7583808899999998</v>
      </c>
      <c r="C67">
        <f>AVERAGEIF(A:A, A67, B:B)</f>
        <v>4.1788670420000003</v>
      </c>
      <c r="D67">
        <v>7.5791826249999996</v>
      </c>
      <c r="E67">
        <v>0.53907519599999998</v>
      </c>
      <c r="F67">
        <v>51.099998470000003</v>
      </c>
      <c r="G67">
        <v>0.60012721999999996</v>
      </c>
      <c r="H67">
        <v>0.125859469</v>
      </c>
      <c r="I67">
        <v>0.70676606900000005</v>
      </c>
      <c r="J67">
        <v>0.51690667899999998</v>
      </c>
      <c r="K67">
        <v>0.275323808</v>
      </c>
      <c r="L67">
        <v>0.29935741399999999</v>
      </c>
    </row>
    <row r="68" spans="1:12">
      <c r="A68" t="s">
        <v>28</v>
      </c>
      <c r="B68">
        <v>3.83171916</v>
      </c>
      <c r="C68">
        <f>AVERAGEIF(A:A, A68, B:B)</f>
        <v>4.1788670420000003</v>
      </c>
      <c r="D68">
        <v>7.5520062450000003</v>
      </c>
      <c r="E68">
        <v>0.52110356099999999</v>
      </c>
      <c r="F68">
        <v>51.400001529999997</v>
      </c>
      <c r="G68">
        <v>0.49590140599999999</v>
      </c>
      <c r="H68">
        <v>0.16772277699999999</v>
      </c>
      <c r="I68">
        <v>0.73110854599999997</v>
      </c>
      <c r="J68">
        <v>0.47983467600000002</v>
      </c>
      <c r="K68">
        <v>0.26717469100000002</v>
      </c>
      <c r="L68">
        <v>0.307385713</v>
      </c>
    </row>
    <row r="69" spans="1:12">
      <c r="A69" t="s">
        <v>29</v>
      </c>
      <c r="B69">
        <v>5.4511470790000001</v>
      </c>
      <c r="C69">
        <f>AVERAGEIF(A:A, A69, B:B)</f>
        <v>3.9987933037500003</v>
      </c>
      <c r="D69">
        <v>9.5164394380000008</v>
      </c>
      <c r="E69">
        <v>0.83190530500000004</v>
      </c>
      <c r="F69">
        <v>49.72000122</v>
      </c>
      <c r="G69">
        <v>0.85777640300000002</v>
      </c>
      <c r="H69">
        <v>-0.160515085</v>
      </c>
      <c r="I69">
        <v>0.80622649199999996</v>
      </c>
      <c r="J69">
        <v>0.67659002499999998</v>
      </c>
      <c r="K69">
        <v>0.21788597100000001</v>
      </c>
      <c r="L69">
        <v>0.88042950600000003</v>
      </c>
    </row>
    <row r="70" spans="1:12">
      <c r="A70" t="s">
        <v>29</v>
      </c>
      <c r="B70">
        <v>3.5530202389999999</v>
      </c>
      <c r="C70">
        <f>AVERAGEIF(A:A, A70, B:B)</f>
        <v>3.9987933037500003</v>
      </c>
      <c r="D70">
        <v>9.4823665619999993</v>
      </c>
      <c r="E70">
        <v>0.86562478499999995</v>
      </c>
      <c r="F70">
        <v>50.599998470000003</v>
      </c>
      <c r="G70">
        <v>0.82621937999999995</v>
      </c>
      <c r="H70">
        <v>-0.13895438600000001</v>
      </c>
      <c r="I70">
        <v>0.81398540699999999</v>
      </c>
      <c r="J70">
        <v>0.616944194</v>
      </c>
      <c r="K70">
        <v>0.172184274</v>
      </c>
      <c r="L70">
        <v>0.74101257300000001</v>
      </c>
    </row>
    <row r="71" spans="1:12">
      <c r="A71" t="s">
        <v>29</v>
      </c>
      <c r="B71">
        <v>3.519921064</v>
      </c>
      <c r="C71">
        <f>AVERAGEIF(A:A, A71, B:B)</f>
        <v>3.9987933037500003</v>
      </c>
      <c r="D71">
        <v>9.5269498830000003</v>
      </c>
      <c r="E71">
        <v>0.86002808799999997</v>
      </c>
      <c r="F71">
        <v>51.040000919999997</v>
      </c>
      <c r="G71">
        <v>0.81251406699999995</v>
      </c>
      <c r="H71">
        <v>-0.24613927299999999</v>
      </c>
      <c r="I71">
        <v>0.816158473</v>
      </c>
      <c r="J71">
        <v>0.64724564600000001</v>
      </c>
      <c r="K71">
        <v>0.159782797</v>
      </c>
      <c r="L71">
        <v>0.79179406200000002</v>
      </c>
    </row>
    <row r="72" spans="1:12">
      <c r="A72" t="s">
        <v>29</v>
      </c>
      <c r="B72">
        <v>3.4710848329999999</v>
      </c>
      <c r="C72">
        <f>AVERAGEIF(A:A, A72, B:B)</f>
        <v>3.9987933037500003</v>
      </c>
      <c r="D72">
        <v>9.7018556589999996</v>
      </c>
      <c r="E72">
        <v>0.77366721599999999</v>
      </c>
      <c r="F72">
        <v>53.900001529999997</v>
      </c>
      <c r="G72">
        <v>0.83254265800000005</v>
      </c>
      <c r="H72">
        <v>-0.23460276399999999</v>
      </c>
      <c r="I72">
        <v>0.79207950800000004</v>
      </c>
      <c r="J72">
        <v>0.66504985100000003</v>
      </c>
      <c r="K72">
        <v>0.272721767</v>
      </c>
      <c r="L72">
        <v>0.69006955599999997</v>
      </c>
    </row>
    <row r="73" spans="1:12">
      <c r="A73" t="s">
        <v>30</v>
      </c>
      <c r="B73">
        <v>3.8437979219999998</v>
      </c>
      <c r="C73">
        <f>AVERAGEIF(A:A, A73, B:B)</f>
        <v>3.8771522043333331</v>
      </c>
      <c r="D73">
        <v>9.7455673219999994</v>
      </c>
      <c r="E73">
        <v>0.83150762300000003</v>
      </c>
      <c r="F73">
        <v>64.77999878</v>
      </c>
      <c r="G73">
        <v>0.56578660000000003</v>
      </c>
      <c r="H73">
        <v>-0.14151923399999999</v>
      </c>
      <c r="I73">
        <v>0.97606104599999999</v>
      </c>
      <c r="J73">
        <v>0.50022840499999999</v>
      </c>
      <c r="K73">
        <v>0.22625605800000001</v>
      </c>
      <c r="L73">
        <v>0.27543166299999999</v>
      </c>
    </row>
    <row r="74" spans="1:12">
      <c r="A74" t="s">
        <v>30</v>
      </c>
      <c r="B74">
        <v>3.9122762679999998</v>
      </c>
      <c r="C74">
        <f>AVERAGEIF(A:A, A74, B:B)</f>
        <v>3.8771522043333331</v>
      </c>
      <c r="D74">
        <v>9.8070096969999998</v>
      </c>
      <c r="E74">
        <v>0.84327202999999995</v>
      </c>
      <c r="F74">
        <v>65.199996949999999</v>
      </c>
      <c r="G74">
        <v>0.54453641200000003</v>
      </c>
      <c r="H74">
        <v>-0.14885932199999999</v>
      </c>
      <c r="I74">
        <v>0.94097000399999997</v>
      </c>
      <c r="J74">
        <v>0.51338315000000001</v>
      </c>
      <c r="K74">
        <v>0.23759418700000001</v>
      </c>
      <c r="L74">
        <v>0.36528596299999999</v>
      </c>
    </row>
    <row r="75" spans="1:12">
      <c r="A75" t="s">
        <v>30</v>
      </c>
      <c r="B75">
        <v>3.875382423</v>
      </c>
      <c r="C75">
        <f>AVERAGEIF(A:A, A75, B:B)</f>
        <v>3.8771522043333331</v>
      </c>
      <c r="D75">
        <v>9.8342161180000005</v>
      </c>
      <c r="E75">
        <v>0.860272288</v>
      </c>
      <c r="F75">
        <v>65.339996339999999</v>
      </c>
      <c r="G75">
        <v>0.663527906</v>
      </c>
      <c r="H75">
        <v>-0.23228712400000001</v>
      </c>
      <c r="I75">
        <v>0.94797867499999999</v>
      </c>
      <c r="J75">
        <v>0.48964214299999997</v>
      </c>
      <c r="K75">
        <v>0.27093103499999999</v>
      </c>
      <c r="L75">
        <v>0.26524475199999997</v>
      </c>
    </row>
    <row r="76" spans="1:12">
      <c r="A76" t="s">
        <v>31</v>
      </c>
      <c r="B76">
        <v>3.8014907839999998</v>
      </c>
      <c r="C76">
        <f>AVERAGEIF(A:A, A76, B:B)</f>
        <v>3.8014907839999998</v>
      </c>
      <c r="D76">
        <v>7.3618392940000001</v>
      </c>
      <c r="E76">
        <v>0.79640501699999999</v>
      </c>
      <c r="F76">
        <v>49.439998629999998</v>
      </c>
      <c r="G76">
        <v>0.58833801699999999</v>
      </c>
      <c r="H76">
        <v>2.9241050000000001E-2</v>
      </c>
      <c r="I76">
        <v>0.79770058399999999</v>
      </c>
      <c r="J76">
        <v>0.67751431500000003</v>
      </c>
      <c r="K76">
        <v>0.265572011</v>
      </c>
      <c r="L76">
        <v>0.35087585399999999</v>
      </c>
    </row>
    <row r="77" spans="1:12">
      <c r="A77" t="s">
        <v>32</v>
      </c>
      <c r="B77">
        <v>3.3298015589999999</v>
      </c>
      <c r="C77">
        <f>AVERAGEIF(A:A, A77, B:B)</f>
        <v>3.6224068799999998</v>
      </c>
      <c r="D77">
        <v>7.8658852579999996</v>
      </c>
      <c r="E77">
        <v>0.44478121399999998</v>
      </c>
      <c r="F77">
        <v>51.959999080000003</v>
      </c>
      <c r="G77">
        <v>0.58006930400000001</v>
      </c>
      <c r="H77">
        <v>-1.100198E-2</v>
      </c>
      <c r="I77">
        <v>0.78986245399999999</v>
      </c>
      <c r="J77">
        <v>0.52084648600000005</v>
      </c>
      <c r="K77">
        <v>0.30910027000000001</v>
      </c>
      <c r="L77">
        <v>0.54099381000000002</v>
      </c>
    </row>
    <row r="78" spans="1:12">
      <c r="A78" t="s">
        <v>32</v>
      </c>
      <c r="B78">
        <v>3.66713953</v>
      </c>
      <c r="C78">
        <f>AVERAGEIF(A:A, A78, B:B)</f>
        <v>3.6224068799999998</v>
      </c>
      <c r="D78">
        <v>7.915053844</v>
      </c>
      <c r="E78">
        <v>0.38237351200000003</v>
      </c>
      <c r="F78">
        <v>52.479999540000001</v>
      </c>
      <c r="G78">
        <v>0.70947694800000005</v>
      </c>
      <c r="H78">
        <v>-4.1814089999999996E-3</v>
      </c>
      <c r="I78">
        <v>0.82524573800000001</v>
      </c>
      <c r="J78">
        <v>0.57390969999999997</v>
      </c>
      <c r="K78">
        <v>0.30254617299999997</v>
      </c>
      <c r="L78">
        <v>0.60283452299999996</v>
      </c>
    </row>
    <row r="79" spans="1:12">
      <c r="A79" t="s">
        <v>32</v>
      </c>
      <c r="B79">
        <v>3.8702795509999999</v>
      </c>
      <c r="C79">
        <f>AVERAGEIF(A:A, A79, B:B)</f>
        <v>3.6224068799999998</v>
      </c>
      <c r="D79">
        <v>7.903917313</v>
      </c>
      <c r="E79">
        <v>0.47749438900000002</v>
      </c>
      <c r="F79">
        <v>53.259998320000001</v>
      </c>
      <c r="G79">
        <v>0.77291876100000001</v>
      </c>
      <c r="H79">
        <v>-0.142089561</v>
      </c>
      <c r="I79">
        <v>0.84947222499999997</v>
      </c>
      <c r="J79">
        <v>0.57443893000000001</v>
      </c>
      <c r="K79">
        <v>0.21867845999999999</v>
      </c>
      <c r="L79">
        <v>0.77715039299999999</v>
      </c>
    </row>
    <row r="85" spans="10:10" ht="30.75">
      <c r="J85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5CB7-FF1F-43E4-A291-7F67A3C39394}">
  <dimension ref="A1:B22"/>
  <sheetViews>
    <sheetView tabSelected="1" workbookViewId="0">
      <selection activeCell="A2" sqref="A2:B11"/>
    </sheetView>
  </sheetViews>
  <sheetFormatPr defaultRowHeight="15"/>
  <cols>
    <col min="1" max="1" width="23.7109375" customWidth="1"/>
    <col min="2" max="2" width="18" bestFit="1" customWidth="1"/>
  </cols>
  <sheetData>
    <row r="1" spans="1:2">
      <c r="A1" t="s">
        <v>0</v>
      </c>
      <c r="B1" t="s">
        <v>2</v>
      </c>
    </row>
    <row r="2" spans="1:2">
      <c r="A2" t="s">
        <v>12</v>
      </c>
      <c r="B2">
        <f>AVERAGEIF('original data'!A:A, A2, 'original data'!B:B)</f>
        <v>7.162830352666667</v>
      </c>
    </row>
    <row r="3" spans="1:2">
      <c r="A3" t="s">
        <v>13</v>
      </c>
      <c r="B3">
        <f>AVERAGEIF('original data'!A:A, A3, 'original data'!B:B)</f>
        <v>6.8054494860000005</v>
      </c>
    </row>
    <row r="4" spans="1:2">
      <c r="A4" t="s">
        <v>14</v>
      </c>
      <c r="B4">
        <f>AVERAGEIF('original data'!A:A, A4, 'original data'!B:B)</f>
        <v>6.5152433259999993</v>
      </c>
    </row>
    <row r="5" spans="1:2">
      <c r="A5" t="s">
        <v>15</v>
      </c>
      <c r="B5">
        <f>AVERAGEIF('original data'!A:A, A5, 'original data'!B:B)</f>
        <v>6.2031455040000001</v>
      </c>
    </row>
    <row r="6" spans="1:2">
      <c r="A6" t="s">
        <v>16</v>
      </c>
      <c r="B6">
        <f>AVERAGEIF('original data'!A:A, A6, 'original data'!B:B)</f>
        <v>6.0311927795999996</v>
      </c>
    </row>
    <row r="7" spans="1:2">
      <c r="A7" t="s">
        <v>17</v>
      </c>
      <c r="B7">
        <f>AVERAGEIF('original data'!A:A, A7, 'original data'!B:B)</f>
        <v>5.6356533049999999</v>
      </c>
    </row>
    <row r="8" spans="1:2">
      <c r="A8" t="s">
        <v>18</v>
      </c>
      <c r="B8">
        <f>AVERAGEIF('original data'!A:A, A8, 'original data'!B:B)</f>
        <v>5.5964643952499999</v>
      </c>
    </row>
    <row r="9" spans="1:2">
      <c r="A9" t="s">
        <v>19</v>
      </c>
      <c r="B9">
        <f>AVERAGEIF('original data'!A:A, A9, 'original data'!B:B)</f>
        <v>5.5765528677999994</v>
      </c>
    </row>
    <row r="10" spans="1:2">
      <c r="A10" t="s">
        <v>20</v>
      </c>
      <c r="B10">
        <f>AVERAGEIF('original data'!A:A, A10, 'original data'!B:B)</f>
        <v>5.2360322953999994</v>
      </c>
    </row>
    <row r="11" spans="1:2">
      <c r="A11" t="s">
        <v>21</v>
      </c>
      <c r="B11">
        <f>AVERAGEIF('original data'!A:A, A11, 'original data'!B:B)</f>
        <v>5.1965994836666658</v>
      </c>
    </row>
    <row r="12" spans="1:2">
      <c r="A12" t="s">
        <v>22</v>
      </c>
      <c r="B12">
        <f>AVERAGEIF('original data'!A:A, A12, 'original data'!B:B)</f>
        <v>5.0519320488000004</v>
      </c>
    </row>
    <row r="13" spans="1:2">
      <c r="A13" t="s">
        <v>23</v>
      </c>
      <c r="B13">
        <f>AVERAGEIF('original data'!A:A, A13, 'original data'!B:B)</f>
        <v>4.9344806671666666</v>
      </c>
    </row>
    <row r="14" spans="1:2">
      <c r="A14" t="s">
        <v>24</v>
      </c>
      <c r="B14">
        <f>AVERAGEIF('original data'!A:A, A14, 'original data'!B:B)</f>
        <v>4.9316420554999993</v>
      </c>
    </row>
    <row r="15" spans="1:2">
      <c r="A15" t="s">
        <v>25</v>
      </c>
      <c r="B15">
        <f>AVERAGEIF('original data'!A:A, A15, 'original data'!B:B)</f>
        <v>4.659503301</v>
      </c>
    </row>
    <row r="16" spans="1:2">
      <c r="A16" t="s">
        <v>26</v>
      </c>
      <c r="B16">
        <f>AVERAGEIF('original data'!A:A, A16, 'original data'!B:B)</f>
        <v>4.5854132175000002</v>
      </c>
    </row>
    <row r="17" spans="1:2">
      <c r="A17" t="s">
        <v>27</v>
      </c>
      <c r="B17">
        <f>AVERAGEIF('original data'!A:A, A17, 'original data'!B:B)</f>
        <v>4.4202988745000003</v>
      </c>
    </row>
    <row r="18" spans="1:2">
      <c r="A18" t="s">
        <v>28</v>
      </c>
      <c r="B18">
        <f>AVERAGEIF('original data'!A:A, A18, 'original data'!B:B)</f>
        <v>4.1788670420000003</v>
      </c>
    </row>
    <row r="19" spans="1:2">
      <c r="A19" t="s">
        <v>29</v>
      </c>
      <c r="B19">
        <f>AVERAGEIF('original data'!A:A, A19, 'original data'!B:B)</f>
        <v>3.9987933037500003</v>
      </c>
    </row>
    <row r="20" spans="1:2">
      <c r="A20" t="s">
        <v>30</v>
      </c>
      <c r="B20">
        <f>AVERAGEIF('original data'!A:A, A20, 'original data'!B:B)</f>
        <v>3.8771522043333331</v>
      </c>
    </row>
    <row r="21" spans="1:2">
      <c r="A21" t="s">
        <v>31</v>
      </c>
      <c r="B21">
        <f>AVERAGEIF('original data'!A:A, A21, 'original data'!B:B)</f>
        <v>3.8014907839999998</v>
      </c>
    </row>
    <row r="22" spans="1:2">
      <c r="A22" t="s">
        <v>32</v>
      </c>
      <c r="B22">
        <f>AVERAGEIF('original data'!A:A, A22, 'original data'!B:B)</f>
        <v>3.6224068799999998</v>
      </c>
    </row>
  </sheetData>
  <sortState xmlns:xlrd2="http://schemas.microsoft.com/office/spreadsheetml/2017/richdata2" ref="A2:B22">
    <sortCondition descending="1" ref="B2:B2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2025-11-25T21:04:38Z</dcterms:created>
  <dcterms:modified xsi:type="dcterms:W3CDTF">2025-11-30T13:09:38Z</dcterms:modified>
  <cp:category/>
  <cp:contentStatus/>
</cp:coreProperties>
</file>